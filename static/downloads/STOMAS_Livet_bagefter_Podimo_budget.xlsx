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b798a0509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75588e337c514ab1"/>
    <x:sheet xmlns:r="http://schemas.openxmlformats.org/officeDocument/2006/relationships" name="Forudsætninger" sheetId="2" r:id="Rebef3c4a5a2d4a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kr.&quot;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i/>
      <x:sz val="10"/>
      <x:color rgb="FFD8F4F7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24B6C8"/>
      </x:patternFill>
    </x:fill>
    <x:fill>
      <x:patternFill patternType="solid">
        <x:fgColor rgb="FFF4F6F8"/>
      </x:patternFill>
    </x:fill>
    <x:fill>
      <x:patternFill patternType="solid">
        <x:fgColor rgb="FFEAF7F9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200" fontId="0" fillId="4" borderId="0" xfId="0" applyNumberFormat="1" applyFont="1" applyFill="1" applyBorder="1"/>
    <x:xf numFmtId="200" fontId="0" fillId="0" borderId="0" xfId="0" applyNumberFormat="1" applyFont="1" applyFill="1" applyBorder="1"/>
    <x:xf numFmtId="200" fontId="4" fillId="5" borderId="0" xfId="0" applyNumberFormat="1" applyFont="1" applyFill="1" applyBorder="1"/>
    <x:xf numFmtId="200" fontId="5" fillId="2" borderId="0" xfId="0" applyNumberFormat="1" applyFont="1" applyFill="1" applyBorder="1"/>
    <x:xf numFmtId="200" fontId="0" fillId="4" borderId="1" xfId="0" applyNumberFormat="1" applyFont="1" applyFill="1" applyBorder="1"/>
    <x:xf numFmtId="200" fontId="0" fillId="0" borderId="1" xfId="0" applyNumberFormat="1" applyFont="1" applyFill="1" applyBorder="1"/>
    <x:xf numFmtId="200" fontId="4" fillId="5" borderId="1" xfId="0" applyNumberFormat="1" applyFont="1" applyFill="1" applyBorder="1"/>
    <x:xf numFmtId="200" fontId="5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200" fontId="5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0" fontId="5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200" fontId="6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8ce1f02424c5e" /><Relationship Type="http://schemas.openxmlformats.org/officeDocument/2006/relationships/theme" Target="/xl/theme/theme1.xml" Id="R2705f701600d4b90" /><Relationship Type="http://schemas.openxmlformats.org/officeDocument/2006/relationships/sharedStrings" Target="/xl/sharedStrings.xml" Id="Rb4e393e651c04228" /><Relationship Type="http://schemas.openxmlformats.org/officeDocument/2006/relationships/worksheet" Target="/xl/worksheets/sheet1.xml" Id="R75588e337c514ab1" /><Relationship Type="http://schemas.openxmlformats.org/officeDocument/2006/relationships/worksheet" Target="/xl/worksheets/sheet2.xml" Id="Rebef3c4a5a2d4a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0" hidden="0" customWidth="1"/>
    <x:col min="4" max="4" width="15" hidden="0" customWidth="1"/>
    <x:col min="5" max="5" width="16" hidden="0" customWidth="1"/>
    <x:col min="6" max="6" width="38" hidden="0" customWidth="1"/>
    <x:col min="8" max="8" width="18" hidden="0" customWidth="1"/>
    <x:col min="9" max="9" width="18" hidden="0" customWidth="1"/>
  </x:cols>
  <x:sheetData>
    <x:row r="1">
      <x:c r="A1" s="30" t="str">
        <x:v>STOMAS - Livet bagefter | Budget, sæson 1</x:v>
      </x:c>
      <x:c r="B1" s="30" t="str"/>
      <x:c r="C1" s="30" t="str"/>
      <x:c r="D1" s="30" t="str"/>
      <x:c r="E1" s="30" t="str"/>
      <x:c r="F1" s="30" t="str"/>
    </x:row>
    <x:row r="2">
      <x:c r="A2" s="31" t="str">
        <x:v>8 episoder á ca. 40-50 minutter - foreløbigt estimat til Podimo</x:v>
      </x:c>
      <x:c r="B2" s="31" t="str"/>
      <x:c r="C2" s="31" t="str"/>
      <x:c r="D2" s="31" t="str"/>
      <x:c r="E2" s="31" t="str"/>
      <x:c r="F2" s="31" t="str"/>
    </x:row>
    <x:row r="3">
      <x:c r="A3" s="32"/>
      <x:c r="B3" s="32"/>
      <x:c r="C3" s="32"/>
      <x:c r="D3" s="32"/>
      <x:c r="E3" s="32"/>
      <x:c r="F3" s="32"/>
    </x:row>
    <x:row r="4">
      <x:c r="A4" s="32"/>
      <x:c r="B4" s="32"/>
      <x:c r="C4" s="32"/>
      <x:c r="D4" s="32"/>
      <x:c r="E4" s="32"/>
      <x:c r="F4" s="32"/>
    </x:row>
    <x:row r="5">
      <x:c r="A5" s="33" t="str">
        <x:v>Post</x:v>
      </x:c>
      <x:c r="B5" s="33" t="str">
        <x:v>Enhed</x:v>
      </x:c>
      <x:c r="C5" s="33" t="str">
        <x:v>Antal</x:v>
      </x:c>
      <x:c r="D5" s="33" t="str">
        <x:v>Pris/enhed</x:v>
      </x:c>
      <x:c r="E5" s="33" t="str">
        <x:v>Beløb</x:v>
      </x:c>
      <x:c r="F5" s="33" t="str">
        <x:v>Bemærkning</x:v>
      </x:c>
      <x:c r="H5" s="12" t="str">
        <x:v>Nøgletal</x:v>
      </x:c>
      <x:c r="I5" s="12" t="str">
        <x:v>Værdi</x:v>
      </x:c>
    </x:row>
    <x:row r="6">
      <x:c r="A6" s="34" t="str">
        <x:v>Konceptudvikling &amp; redaktionel plan</x:v>
      </x:c>
      <x:c r="B6" s="34" t="str">
        <x:v>timer</x:v>
      </x:c>
      <x:c r="C6" s="34" t="n">
        <x:v>12</x:v>
      </x:c>
      <x:c r="D6" s="35" t="n">
        <x:v>500</x:v>
      </x:c>
      <x:c r="E6" s="35" t="n">
        <x:f>C6*D6</x:f>
        <x:v>6000</x:v>
      </x:c>
      <x:c r="F6" s="34" t="str">
        <x:v>Format, sæsonbue, episodearkitektur</x:v>
      </x:c>
      <x:c r="H6" s="54" t="str">
        <x:v>Episoder</x:v>
      </x:c>
      <x:c r="I6" s="54" t="n">
        <x:v>8</x:v>
      </x:c>
    </x:row>
    <x:row r="7">
      <x:c r="A7" s="32" t="str">
        <x:v>Research &amp; gæstebooking</x:v>
      </x:c>
      <x:c r="B7" s="32" t="str">
        <x:v>timer</x:v>
      </x:c>
      <x:c r="C7" s="32" t="n">
        <x:v>24</x:v>
      </x:c>
      <x:c r="D7" s="36" t="n">
        <x:v>450</x:v>
      </x:c>
      <x:c r="E7" s="36" t="n">
        <x:f>C7*D7</x:f>
        <x:v>10800</x:v>
      </x:c>
      <x:c r="F7" s="32" t="str">
        <x:v>Research, kontakt, briefing og koordinering</x:v>
      </x:c>
      <x:c r="H7" s="54" t="str">
        <x:v>Subtotal</x:v>
      </x:c>
      <x:c r="I7" s="56" t="n">
        <x:f>E18</x:f>
        <x:v>92300</x:v>
      </x:c>
    </x:row>
    <x:row r="8">
      <x:c r="A8" s="34" t="str">
        <x:v>Værtshonorar</x:v>
      </x:c>
      <x:c r="B8" s="34" t="str">
        <x:v>episode</x:v>
      </x:c>
      <x:c r="C8" s="34" t="n">
        <x:v>8</x:v>
      </x:c>
      <x:c r="D8" s="35" t="n">
        <x:v>2500</x:v>
      </x:c>
      <x:c r="E8" s="35" t="n">
        <x:f>C8*D8</x:f>
        <x:v>20000</x:v>
      </x:c>
      <x:c r="F8" s="34" t="str">
        <x:v>Forberedelse, optagelse og værtsrolle</x:v>
      </x:c>
      <x:c r="H8" s="54" t="str">
        <x:v>Reserve</x:v>
      </x:c>
      <x:c r="I8" s="56" t="n">
        <x:f>E19</x:f>
        <x:v>9230</x:v>
      </x:c>
    </x:row>
    <x:row r="9">
      <x:c r="A9" s="32" t="str">
        <x:v>Producer / redaktion</x:v>
      </x:c>
      <x:c r="B9" s="32" t="str">
        <x:v>episode</x:v>
      </x:c>
      <x:c r="C9" s="32" t="n">
        <x:v>8</x:v>
      </x:c>
      <x:c r="D9" s="36" t="n">
        <x:v>1500</x:v>
      </x:c>
      <x:c r="E9" s="36" t="n">
        <x:f>C9*D9</x:f>
        <x:v>12000</x:v>
      </x:c>
      <x:c r="F9" s="32" t="str">
        <x:v>Redaktionel sparring og kvalitetssikring</x:v>
      </x:c>
      <x:c r="H9" s="54" t="str">
        <x:v>Total</x:v>
      </x:c>
      <x:c r="I9" s="56" t="n">
        <x:f>E20</x:f>
        <x:v>101530</x:v>
      </x:c>
    </x:row>
    <x:row r="10">
      <x:c r="A10" s="34" t="str">
        <x:v>Studie &amp; lydtekniker</x:v>
      </x:c>
      <x:c r="B10" s="34" t="str">
        <x:v>episode</x:v>
      </x:c>
      <x:c r="C10" s="34" t="n">
        <x:v>8</x:v>
      </x:c>
      <x:c r="D10" s="35" t="n">
        <x:v>1250</x:v>
      </x:c>
      <x:c r="E10" s="35" t="n">
        <x:f>C10*D10</x:f>
        <x:v>10000</x:v>
      </x:c>
      <x:c r="F10" s="34" t="str">
        <x:v>Kan reduceres ved Podimo in-house produktion</x:v>
      </x:c>
    </x:row>
    <x:row r="11">
      <x:c r="A11" s="32" t="str">
        <x:v>Klip, mix &amp; mastering</x:v>
      </x:c>
      <x:c r="B11" s="32" t="str">
        <x:v>episode</x:v>
      </x:c>
      <x:c r="C11" s="32" t="n">
        <x:v>8</x:v>
      </x:c>
      <x:c r="D11" s="36" t="n">
        <x:v>1750</x:v>
      </x:c>
      <x:c r="E11" s="36" t="n">
        <x:f>C11*D11</x:f>
        <x:v>14000</x:v>
      </x:c>
      <x:c r="F11" s="32" t="str">
        <x:v>Færdig podcastmaster pr. episode</x:v>
      </x:c>
    </x:row>
    <x:row r="12">
      <x:c r="A12" s="34" t="str">
        <x:v>Musik / lydidentitet</x:v>
      </x:c>
      <x:c r="B12" s="34" t="str">
        <x:v>engangsbeløb</x:v>
      </x:c>
      <x:c r="C12" s="34" t="n">
        <x:v>1</x:v>
      </x:c>
      <x:c r="D12" s="35" t="n">
        <x:v>3000</x:v>
      </x:c>
      <x:c r="E12" s="35" t="n">
        <x:f>C12*D12</x:f>
        <x:v>3000</x:v>
      </x:c>
      <x:c r="F12" s="34" t="str">
        <x:v>Intro/outro og enkel lydidentitet</x:v>
      </x:c>
    </x:row>
    <x:row r="13">
      <x:c r="A13" s="32" t="str">
        <x:v>Cover / grafisk identitet</x:v>
      </x:c>
      <x:c r="B13" s="32" t="str">
        <x:v>engangsbeløb</x:v>
      </x:c>
      <x:c r="C13" s="32" t="n">
        <x:v>1</x:v>
      </x:c>
      <x:c r="D13" s="36" t="n">
        <x:v>2500</x:v>
      </x:c>
      <x:c r="E13" s="36" t="n">
        <x:f>C13*D13</x:f>
        <x:v>2500</x:v>
      </x:c>
      <x:c r="F13" s="32" t="str">
        <x:v>Podcastcover og grundpakke</x:v>
      </x:c>
    </x:row>
    <x:row r="14">
      <x:c r="A14" s="34" t="str">
        <x:v>SoMe-klip</x:v>
      </x:c>
      <x:c r="B14" s="34" t="str">
        <x:v>episode</x:v>
      </x:c>
      <x:c r="C14" s="34" t="n">
        <x:v>8</x:v>
      </x:c>
      <x:c r="D14" s="35" t="n">
        <x:v>750</x:v>
      </x:c>
      <x:c r="E14" s="35" t="n">
        <x:f>C14*D14</x:f>
        <x:v>6000</x:v>
      </x:c>
      <x:c r="F14" s="34" t="str">
        <x:v>1-2 korte videoklip/teasers pr. episode</x:v>
      </x:c>
    </x:row>
    <x:row r="15">
      <x:c r="A15" s="32" t="str">
        <x:v>Rejser &amp; gæsteudgifter</x:v>
      </x:c>
      <x:c r="B15" s="32" t="str">
        <x:v>pulje</x:v>
      </x:c>
      <x:c r="C15" s="32" t="n">
        <x:v>1</x:v>
      </x:c>
      <x:c r="D15" s="36" t="n">
        <x:v>6000</x:v>
      </x:c>
      <x:c r="E15" s="36" t="n">
        <x:f>C15*D15</x:f>
        <x:v>6000</x:v>
      </x:c>
      <x:c r="F15" s="32" t="str">
        <x:v>Transport i Danmark efter behov</x:v>
      </x:c>
    </x:row>
    <x:row r="16">
      <x:c r="A16" s="34" t="str">
        <x:v>Administration / hosting / øvrigt</x:v>
      </x:c>
      <x:c r="B16" s="34" t="str">
        <x:v>pulje</x:v>
      </x:c>
      <x:c r="C16" s="34" t="n">
        <x:v>1</x:v>
      </x:c>
      <x:c r="D16" s="35" t="n">
        <x:v>2000</x:v>
      </x:c>
      <x:c r="E16" s="35" t="n">
        <x:f>C16*D16</x:f>
        <x:v>2000</x:v>
      </x:c>
      <x:c r="F16" s="34" t="str">
        <x:v>Småudgifter, data, koordinering</x:v>
      </x:c>
    </x:row>
    <x:row r="17">
      <x:c r="A17" s="32"/>
      <x:c r="B17" s="32"/>
      <x:c r="C17" s="32"/>
      <x:c r="D17" s="36"/>
      <x:c r="E17" s="36"/>
      <x:c r="F17" s="32"/>
    </x:row>
    <x:row r="18">
      <x:c r="A18" s="37" t="str">
        <x:v>Subtotal</x:v>
      </x:c>
      <x:c r="B18" s="37" t="str"/>
      <x:c r="C18" s="37" t="str"/>
      <x:c r="D18" s="38" t="str"/>
      <x:c r="E18" s="38" t="n">
        <x:f>SUM(E6:E16)</x:f>
        <x:v>92300</x:v>
      </x:c>
      <x:c r="F18" s="32"/>
    </x:row>
    <x:row r="19">
      <x:c r="A19" s="37" t="str">
        <x:v>Reserve / uforudsete (10%)</x:v>
      </x:c>
      <x:c r="B19" s="37" t="str"/>
      <x:c r="C19" s="37" t="str"/>
      <x:c r="D19" s="38" t="str"/>
      <x:c r="E19" s="38" t="n">
        <x:f>E18*10%</x:f>
        <x:v>9230</x:v>
      </x:c>
      <x:c r="F19" s="32"/>
    </x:row>
    <x:row r="20">
      <x:c r="A20" s="39" t="str">
        <x:v>TOTAL EKSKL. MOMS</x:v>
      </x:c>
      <x:c r="B20" s="39" t="str"/>
      <x:c r="C20" s="39" t="str"/>
      <x:c r="D20" s="40" t="str"/>
      <x:c r="E20" s="40" t="n">
        <x:f>E18+E19</x:f>
        <x:v>101530</x:v>
      </x:c>
      <x:c r="F20" s="32"/>
    </x:row>
    <x:row r="21">
      <x:c r="A21" s="32"/>
      <x:c r="B21" s="32"/>
      <x:c r="C21" s="32"/>
      <x:c r="D21" s="32"/>
      <x:c r="E21" s="32"/>
      <x:c r="F21" s="32"/>
    </x:row>
    <x:row r="22">
      <x:c r="A22" s="33" t="str">
        <x:v>Bemærkning</x:v>
      </x:c>
      <x:c r="B22" s="33" t="str"/>
      <x:c r="C22" s="33" t="str"/>
      <x:c r="D22" s="33" t="str"/>
      <x:c r="E22" s="33" t="str"/>
      <x:c r="F22" s="33" t="str"/>
    </x:row>
    <x:row r="23">
      <x:c r="A23" s="32" t="str">
        <x:v>Budgettet er et forhandlingsoplæg - ikke et krav til Podimos produktionsmodel.</x:v>
      </x:c>
      <x:c r="B23" s="32" t="str"/>
      <x:c r="C23" s="32" t="str"/>
      <x:c r="D23" s="32" t="str"/>
      <x:c r="E23" s="32" t="str"/>
      <x:c r="F23" s="32" t="str"/>
    </x:row>
    <x:row r="24">
      <x:c r="A24" s="32" t="str">
        <x:v>Hvis Podimo står for studie, producer, klip eller grafisk identitet, kan budgettet tilsvarende reduceres.</x:v>
      </x:c>
      <x:c r="B24" s="32" t="str"/>
      <x:c r="C24" s="32" t="str"/>
      <x:c r="D24" s="32" t="str"/>
      <x:c r="E24" s="32" t="str"/>
      <x:c r="F24" s="32" t="str"/>
    </x:row>
    <x:row r="25">
      <x:c r="A25" s="32" t="str">
        <x:v>Målet er en professionel første sæson, der kan bruges som pilot for et længerevarende format.</x:v>
      </x:c>
      <x:c r="B25" s="32" t="str"/>
      <x:c r="C25" s="32" t="str"/>
      <x:c r="D25" s="32" t="str"/>
      <x:c r="E25" s="32" t="str"/>
      <x:c r="F25" s="32" t="str"/>
    </x:row>
  </x:sheetData>
  <x:mergeCells>
    <x:mergeCell ref="A1:F1"/>
    <x:mergeCell ref="A2:F2"/>
    <x:mergeCell ref="A18:D18"/>
    <x:mergeCell ref="A19:D19"/>
    <x:mergeCell ref="A20:D20"/>
    <x:mergeCell ref="A22:F22"/>
    <x:mergeCell ref="A23:F23"/>
    <x:mergeCell ref="A24:F24"/>
    <x:mergeCell ref="A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5" hidden="0" customWidth="1"/>
    <x:col min="3" max="3" width="12" hidden="0" customWidth="1"/>
    <x:col min="4" max="4" width="12" hidden="0" customWidth="1"/>
  </x:cols>
  <x:sheetData>
    <x:row r="1">
      <x:c r="A1" s="52" t="str">
        <x:v>STOMAS - Livet bagefter</x:v>
      </x:c>
      <x:c r="B1" s="52" t="str"/>
      <x:c r="C1" s="52" t="str"/>
      <x:c r="D1" s="52" t="str"/>
    </x:row>
    <x:row r="2">
      <x:c r="A2" s="52" t="str">
        <x:v>Foreløbigt produktionsbudget til Podimo-pitch</x:v>
      </x:c>
      <x:c r="B2" s="52" t="str"/>
      <x:c r="C2" s="52" t="str"/>
      <x:c r="D2" s="52" t="str"/>
    </x:row>
    <x:row r="3">
      <x:c r="A3" s="32"/>
      <x:c r="B3" s="32"/>
      <x:c r="C3" s="32"/>
      <x:c r="D3" s="32"/>
    </x:row>
    <x:row r="4">
      <x:c r="A4" s="33" t="str">
        <x:v>Forudsætning</x:v>
      </x:c>
      <x:c r="B4" s="33" t="str">
        <x:v>Værdi</x:v>
      </x:c>
      <x:c r="C4" s="32"/>
      <x:c r="D4" s="32"/>
    </x:row>
    <x:row r="5">
      <x:c r="A5" s="32" t="str">
        <x:v>Antal episoder</x:v>
      </x:c>
      <x:c r="B5" s="32" t="n">
        <x:v>8</x:v>
      </x:c>
      <x:c r="C5" s="32"/>
      <x:c r="D5" s="32"/>
    </x:row>
    <x:row r="6">
      <x:c r="A6" s="32" t="str">
        <x:v>Færdig længde pr. episode</x:v>
      </x:c>
      <x:c r="B6" s="32" t="str">
        <x:v>40-50 min.</x:v>
      </x:c>
      <x:c r="C6" s="32"/>
      <x:c r="D6" s="32"/>
    </x:row>
    <x:row r="7">
      <x:c r="A7" s="32" t="str">
        <x:v>Format</x:v>
      </x:c>
      <x:c r="B7" s="32" t="str">
        <x:v>Vært + én gæst pr. episode</x:v>
      </x:c>
      <x:c r="C7" s="32"/>
      <x:c r="D7" s="32"/>
    </x:row>
    <x:row r="8">
      <x:c r="A8" s="32" t="str">
        <x:v>Optagelse</x:v>
      </x:c>
      <x:c r="B8" s="32" t="str">
        <x:v>Primært studie / professionelt remote-setup</x:v>
      </x:c>
      <x:c r="C8" s="32"/>
      <x:c r="D8" s="32"/>
    </x:row>
    <x:row r="9">
      <x:c r="A9" s="32" t="str">
        <x:v>Valuta</x:v>
      </x:c>
      <x:c r="B9" s="32" t="str">
        <x:v>DKK, ekskl. moms</x:v>
      </x:c>
      <x:c r="C9" s="32"/>
      <x:c r="D9" s="32"/>
    </x:row>
    <x:row r="10">
      <x:c r="A10" s="32" t="str">
        <x:v>Budgetstatus</x:v>
      </x:c>
      <x:c r="B10" s="32" t="str">
        <x:v>Foreløbigt estimat - tilpasses Podimos produktionssetup</x:v>
      </x:c>
      <x:c r="C10" s="32"/>
      <x:c r="D10" s="32"/>
    </x:row>
    <x:row r="11">
      <x:c r="A11" s="32"/>
      <x:c r="B11" s="32"/>
      <x:c r="C11" s="32"/>
      <x:c r="D11" s="32"/>
    </x:row>
    <x:row r="12">
      <x:c r="A12" s="33" t="str">
        <x:v>Budgetnote</x:v>
      </x:c>
      <x:c r="B12" s="33" t="str"/>
      <x:c r="C12" s="33" t="str"/>
      <x:c r="D12" s="33" t="str"/>
    </x:row>
    <x:row r="13">
      <x:c r="A13" s="32" t="str">
        <x:v>Budgettet er lavet som et realistisk udgangspunkt for en første sæson på 8 episoder.</x:v>
      </x:c>
      <x:c r="B13" s="32" t="str"/>
      <x:c r="C13" s="32" t="str"/>
      <x:c r="D13" s="32" t="str"/>
    </x:row>
    <x:row r="14">
      <x:c r="A14" s="32" t="str">
        <x:v>Hvis Podimo leverer studie, redaktion, klip eller markedsføring in-house, kan de relevante poster reduceres eller udgå.</x:v>
      </x:c>
      <x:c r="B14" s="32" t="str"/>
      <x:c r="C14" s="32" t="str"/>
      <x:c r="D14" s="32" t="str"/>
    </x:row>
    <x:row r="15">
      <x:c r="A15" s="32" t="str">
        <x:v>Værtshonoraret er indregnet som talent-/værtsbetaling og kan forhandles separat.</x:v>
      </x:c>
      <x:c r="B15" s="32" t="str"/>
      <x:c r="C15" s="32" t="str"/>
      <x:c r="D15" s="32" t="str"/>
    </x:row>
    <x:row r="16">
      <x:c r="A16" s="32" t="str">
        <x:v>Rejsepuljen dækker almindelige danske transportudgifter for vært/gæster og er ikke et loft pr. episode.</x:v>
      </x:c>
      <x:c r="B16" s="32" t="str"/>
      <x:c r="C16" s="32" t="str"/>
      <x:c r="D16" s="32" t="str"/>
    </x:row>
    <x:row r="17">
      <x:c r="A17" s="32" t="str">
        <x:v>Der er ikke medregnet betalt medieindkøb eller større kampagner.</x:v>
      </x:c>
      <x:c r="B17" s="32" t="str"/>
      <x:c r="C17" s="32" t="str"/>
      <x:c r="D17" s="32" t="str"/>
    </x:row>
  </x:sheetData>
  <x:mergeCells>
    <x:mergeCell ref="A1:D1"/>
    <x:mergeCell ref="A2:D2"/>
    <x:mergeCell ref="A12:D12"/>
    <x:mergeCell ref="A13:D13"/>
    <x:mergeCell ref="A14:D14"/>
    <x:mergeCell ref="A15:D15"/>
    <x:mergeCell ref="A16:D16"/>
    <x:mergeCell ref="A17:D17"/>
  </x:mergeCells>
  <x:pageMargins left="0.7" right="0.7" top="0.75" bottom="0.75" header="0.3" footer="0.3"/>
</x:worksheet>
</file>